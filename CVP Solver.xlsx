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VS CODE\sphere-problem\"/>
    </mc:Choice>
  </mc:AlternateContent>
  <xr:revisionPtr revIDLastSave="0" documentId="13_ncr:1_{17175FCA-0888-4E38-BE62-CFE005FACBF8}" xr6:coauthVersionLast="4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solver_adj" localSheetId="0" hidden="1">Sheet1!$B$7:$B$8</definedName>
    <definedName name="solver_adj" localSheetId="1" hidden="1">Sheet2!$B$7:$B$9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Sheet1!$F$4</definedName>
    <definedName name="solver_lhs1" localSheetId="1" hidden="1">Sheet2!$F$4</definedName>
    <definedName name="solver_lhs2" localSheetId="0" hidden="1">Sheet1!$F$5</definedName>
    <definedName name="solver_lhs2" localSheetId="1" hidden="1">Sheet2!$F$5</definedName>
    <definedName name="solver_lhs3" localSheetId="0" hidden="1">Sheet1!$F$6</definedName>
    <definedName name="solver_lhs3" localSheetId="1" hidden="1">Sheet2!$F$6</definedName>
    <definedName name="solver_lhs4" localSheetId="1" hidden="1">Sheet2!$F$7</definedName>
    <definedName name="solver_lhs5" localSheetId="1" hidden="1">Sheet2!$F$8</definedName>
    <definedName name="solver_lhs6" localSheetId="1" hidden="1">Sheet2!$F$8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Sheet1!$B$8</definedName>
    <definedName name="solver_opt" localSheetId="1" hidden="1">Sheet2!$B$9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el3" localSheetId="0" hidden="1">3</definedName>
    <definedName name="solver_rel3" localSheetId="1" hidden="1">3</definedName>
    <definedName name="solver_rel4" localSheetId="1" hidden="1">1</definedName>
    <definedName name="solver_rel5" localSheetId="1" hidden="1">3</definedName>
    <definedName name="solver_rel6" localSheetId="1" hidden="1">3</definedName>
    <definedName name="solver_rhs1" localSheetId="0" hidden="1">0</definedName>
    <definedName name="solver_rhs1" localSheetId="1" hidden="1">0</definedName>
    <definedName name="solver_rhs2" localSheetId="0" hidden="1">Sheet1!$E$7</definedName>
    <definedName name="solver_rhs2" localSheetId="1" hidden="1">Sheet2!$E$7</definedName>
    <definedName name="solver_rhs3" localSheetId="0" hidden="1">Sheet1!$D$7</definedName>
    <definedName name="solver_rhs3" localSheetId="1" hidden="1">Sheet2!$D$7</definedName>
    <definedName name="solver_rhs4" localSheetId="1" hidden="1">Sheet2!$E$8</definedName>
    <definedName name="solver_rhs5" localSheetId="1" hidden="1">Sheet2!$D$8</definedName>
    <definedName name="solver_rhs6" localSheetId="1" hidden="1">Sheet2!$D$8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K4" i="2"/>
  <c r="I5" i="2"/>
  <c r="I4" i="2"/>
  <c r="F8" i="2"/>
  <c r="F7" i="2"/>
  <c r="F6" i="2"/>
  <c r="F5" i="2"/>
  <c r="F4" i="2"/>
  <c r="K4" i="1"/>
  <c r="I4" i="1"/>
  <c r="F6" i="1"/>
  <c r="F5" i="1"/>
  <c r="F4" i="1"/>
</calcChain>
</file>

<file path=xl/sharedStrings.xml><?xml version="1.0" encoding="utf-8"?>
<sst xmlns="http://schemas.openxmlformats.org/spreadsheetml/2006/main" count="26" uniqueCount="14">
  <si>
    <t>p</t>
  </si>
  <si>
    <t>c</t>
  </si>
  <si>
    <t>F</t>
  </si>
  <si>
    <t>constraints</t>
  </si>
  <si>
    <t>x</t>
  </si>
  <si>
    <t>xmin</t>
  </si>
  <si>
    <t>xmax</t>
  </si>
  <si>
    <t>interval</t>
  </si>
  <si>
    <t>x0,r0</t>
  </si>
  <si>
    <t>r=</t>
  </si>
  <si>
    <t>x1=</t>
  </si>
  <si>
    <t>x2=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</si>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</sst>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8"/>
  <sheetViews>
    <sheetView topLeftCell="B1" workbookViewId="0">
      <selection activeCell="B1" sqref="A1:XFD1048576"/>
    </sheetView>
  </sheetViews>
  <sheetFormatPr defaultRowHeight="15" x14ac:dyDescent="0.25"/>
  <sheetData>
    <row r="3" spans="2:11" x14ac:dyDescent="0.25">
      <c r="B3" t="s">
        <v>0</v>
      </c>
      <c r="C3" t="s">
        <v>1</v>
      </c>
      <c r="D3" t="s">
        <v>2</v>
      </c>
      <c r="F3" t="s">
        <v>3</v>
      </c>
      <c r="I3" s="1" t="s">
        <v>5</v>
      </c>
      <c r="J3" s="1" t="s">
        <v>7</v>
      </c>
      <c r="K3" s="1" t="s">
        <v>6</v>
      </c>
    </row>
    <row r="4" spans="2:11" x14ac:dyDescent="0.25">
      <c r="B4">
        <v>15</v>
      </c>
      <c r="C4">
        <v>7</v>
      </c>
      <c r="D4">
        <v>1000</v>
      </c>
      <c r="F4">
        <f>(B4-C4)*B7-D4-B8*(B4-C4)</f>
        <v>0</v>
      </c>
      <c r="I4" s="1">
        <f>B7-B8*B4/B4</f>
        <v>125</v>
      </c>
      <c r="J4" s="1" t="s">
        <v>4</v>
      </c>
      <c r="K4" s="1">
        <f>B7+B8*B4/B4</f>
        <v>500</v>
      </c>
    </row>
    <row r="5" spans="2:11" x14ac:dyDescent="0.25">
      <c r="F5">
        <f>B7+B8</f>
        <v>500</v>
      </c>
    </row>
    <row r="6" spans="2:11" x14ac:dyDescent="0.25">
      <c r="B6" s="1" t="s">
        <v>8</v>
      </c>
      <c r="D6" t="s">
        <v>5</v>
      </c>
      <c r="E6" t="s">
        <v>6</v>
      </c>
      <c r="F6">
        <f>B7-B8</f>
        <v>125</v>
      </c>
    </row>
    <row r="7" spans="2:11" x14ac:dyDescent="0.25">
      <c r="B7" s="1">
        <v>312.5</v>
      </c>
      <c r="D7">
        <v>0</v>
      </c>
      <c r="E7">
        <v>500</v>
      </c>
    </row>
    <row r="8" spans="2:11" x14ac:dyDescent="0.25">
      <c r="B8" s="1">
        <v>187.5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284E-2ECF-4A52-BC78-F97B74AF6BEF}">
  <dimension ref="A3:K9"/>
  <sheetViews>
    <sheetView tabSelected="1" workbookViewId="0">
      <selection activeCell="F5" sqref="F5"/>
    </sheetView>
  </sheetViews>
  <sheetFormatPr defaultRowHeight="15" x14ac:dyDescent="0.25"/>
  <sheetData>
    <row r="3" spans="1:11" x14ac:dyDescent="0.25">
      <c r="B3" t="s">
        <v>0</v>
      </c>
      <c r="C3" t="s">
        <v>1</v>
      </c>
      <c r="D3" t="s">
        <v>2</v>
      </c>
      <c r="F3" t="s">
        <v>3</v>
      </c>
      <c r="I3" t="s">
        <v>5</v>
      </c>
      <c r="J3" t="s">
        <v>7</v>
      </c>
      <c r="K3" t="s">
        <v>6</v>
      </c>
    </row>
    <row r="4" spans="1:11" x14ac:dyDescent="0.25">
      <c r="B4">
        <v>15</v>
      </c>
      <c r="C4">
        <v>7</v>
      </c>
      <c r="D4">
        <v>2700</v>
      </c>
      <c r="F4">
        <f>(B4-C4)*B7+(B5-C5)*B8-D4-B9*SQRT((B4-C4)^2+(B5-C5)^2)</f>
        <v>0</v>
      </c>
      <c r="I4">
        <f>B7-B9*B4/SQRT(B4^2+B5^2)</f>
        <v>169.18918145657676</v>
      </c>
      <c r="J4" t="s">
        <v>12</v>
      </c>
      <c r="K4">
        <f>B7+B9*B4/SQRT(B4^2+B5^2)</f>
        <v>830.81081854342301</v>
      </c>
    </row>
    <row r="5" spans="1:11" x14ac:dyDescent="0.25">
      <c r="B5">
        <v>17</v>
      </c>
      <c r="C5">
        <v>11</v>
      </c>
      <c r="F5">
        <f>B7+B9</f>
        <v>999.99999999999989</v>
      </c>
      <c r="I5">
        <f>B8-B9*B5/SQRT(B4^2+B5^2)</f>
        <v>241.74773898412042</v>
      </c>
      <c r="J5" t="s">
        <v>13</v>
      </c>
      <c r="K5">
        <f>B8+B9*B5/SQRT(B4^2+B5^2)</f>
        <v>991.5855943492129</v>
      </c>
    </row>
    <row r="6" spans="1:11" x14ac:dyDescent="0.25">
      <c r="B6" t="s">
        <v>8</v>
      </c>
      <c r="D6" t="s">
        <v>5</v>
      </c>
      <c r="E6" t="s">
        <v>6</v>
      </c>
      <c r="F6">
        <f>B7-B9</f>
        <v>0</v>
      </c>
    </row>
    <row r="7" spans="1:11" x14ac:dyDescent="0.25">
      <c r="A7" t="s">
        <v>10</v>
      </c>
      <c r="B7">
        <v>499.99999999999989</v>
      </c>
      <c r="D7">
        <v>0</v>
      </c>
      <c r="E7">
        <v>1000</v>
      </c>
      <c r="F7">
        <f>B8+B9</f>
        <v>1116.6666666666665</v>
      </c>
    </row>
    <row r="8" spans="1:11" x14ac:dyDescent="0.25">
      <c r="A8" t="s">
        <v>11</v>
      </c>
      <c r="B8">
        <v>616.66666666666663</v>
      </c>
      <c r="D8">
        <v>0</v>
      </c>
      <c r="E8">
        <v>7800</v>
      </c>
      <c r="F8">
        <f>B8-B9</f>
        <v>116.66666666666663</v>
      </c>
    </row>
    <row r="9" spans="1:11" x14ac:dyDescent="0.25">
      <c r="A9" t="s">
        <v>9</v>
      </c>
      <c r="B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Ochirbold Manal</cp:lastModifiedBy>
  <dcterms:created xsi:type="dcterms:W3CDTF">2015-06-05T18:17:20Z</dcterms:created>
  <dcterms:modified xsi:type="dcterms:W3CDTF">2026-02-04T06:04:52Z</dcterms:modified>
</cp:coreProperties>
</file>